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tización" sheetId="2" state="visible" r:id="rId2"/>
    <sheet xmlns:r="http://schemas.openxmlformats.org/officeDocument/2006/relationships" name="Cronograma y F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2F4F4F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2F4F4F"/>
      <sz val="13"/>
    </font>
  </fonts>
  <fills count="5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4F8F8"/>
        <bgColor rgb="00F4F8F8"/>
      </patternFill>
    </fill>
    <fill>
      <patternFill patternType="solid">
        <fgColor rgb="00E6F2F2"/>
        <bgColor rgb="00E6F2F2"/>
      </patternFill>
    </fill>
  </fills>
  <borders count="4">
    <border>
      <left/>
      <right/>
      <top/>
      <bottom/>
      <diagonal/>
    </border>
    <border>
      <left style="thin">
        <color rgb="00D0D8D8"/>
      </left>
      <right style="thin">
        <color rgb="00D0D8D8"/>
      </right>
      <top style="thin">
        <color rgb="00D0D8D8"/>
      </top>
      <bottom style="thin">
        <color rgb="00D0D8D8"/>
      </bottom>
    </border>
    <border>
      <top style="thin">
        <color rgb="00D0D8D8"/>
      </top>
      <bottom style="double">
        <color rgb="002F4F4F"/>
      </bottom>
    </border>
    <border>
      <bottom style="thin">
        <color rgb="00D0D8D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4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4" fillId="3" borderId="1" pivotButton="0" quotePrefix="0" xfId="0"/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165" fontId="5" fillId="0" borderId="2" pivotButton="0" quotePrefix="0" xfId="0"/>
    <xf numFmtId="166" fontId="5" fillId="0" borderId="2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3" fontId="5" fillId="0" borderId="2" pivotButton="0" quotePrefix="0" xfId="0"/>
    <xf numFmtId="2" fontId="5" fillId="0" borderId="2" pivotButton="0" quotePrefix="0" xfId="0"/>
    <xf numFmtId="164" fontId="5" fillId="0" borderId="2" pivotButton="0" quotePrefix="0" xfId="0"/>
    <xf numFmtId="165" fontId="5" fillId="0" borderId="3" pivotButton="0" quotePrefix="0" xfId="0"/>
    <xf numFmtId="0" fontId="1" fillId="0" borderId="0" applyAlignment="1" pivotButton="0" quotePrefix="0" xfId="0">
      <alignment horizontal="right"/>
    </xf>
    <xf numFmtId="165" fontId="1" fillId="4" borderId="2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pivotButton="0" quotePrefix="0" xfId="0"/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7" customWidth="1" min="2" max="2"/>
    <col width="23" customWidth="1" min="3" max="3"/>
    <col width="12" customWidth="1" min="4" max="4"/>
    <col width="12" customWidth="1" min="5" max="5"/>
  </cols>
  <sheetData>
    <row r="1">
      <c r="A1" s="1" t="inlineStr">
        <is>
          <t>DASHBOARD EJECUTIVO - COTIZACIÓN INTEGRAL</t>
        </is>
      </c>
    </row>
    <row r="2">
      <c r="A2" s="2" t="inlineStr">
        <is>
          <t>Indicadores clave, desglose por categoría, utilidad y costo total final.</t>
        </is>
      </c>
    </row>
    <row r="3"/>
    <row r="4">
      <c r="A4" s="3" t="inlineStr">
        <is>
          <t>COSTO DIRECTO TOTAL</t>
        </is>
      </c>
      <c r="D4" s="3" t="inlineStr">
        <is>
          <t>TOTAL CON UTILIDAD + IVA</t>
        </is>
      </c>
    </row>
    <row r="5">
      <c r="A5" s="4">
        <f>Cotización!I21</f>
        <v/>
      </c>
      <c r="D5" s="4">
        <f>Cotización!I25</f>
        <v/>
      </c>
    </row>
    <row r="6"/>
    <row r="7"/>
    <row r="8">
      <c r="A8" s="5" t="inlineStr">
        <is>
          <t>Resumen de Inversión por Categoría</t>
        </is>
      </c>
    </row>
    <row r="9"/>
    <row r="10">
      <c r="A10" s="6" t="inlineStr">
        <is>
          <t>Categoría del Proyecto</t>
        </is>
      </c>
      <c r="B10" s="6" t="inlineStr">
        <is>
          <t>Costo Total Directo (MXN)</t>
        </is>
      </c>
      <c r="C10" s="6" t="inlineStr">
        <is>
          <t>% del Costo Directo</t>
        </is>
      </c>
    </row>
    <row r="11">
      <c r="A11" s="7" t="inlineStr">
        <is>
          <t>1. Análisis y Diseño</t>
        </is>
      </c>
      <c r="B11" s="8">
        <f>SUMIF(Cotización!A$5:A$20, A11, Cotización!I$5:I$20)</f>
        <v/>
      </c>
      <c r="C11" s="9">
        <f>B11/$B$19</f>
        <v/>
      </c>
    </row>
    <row r="12">
      <c r="A12" s="10" t="inlineStr">
        <is>
          <t>2. Desarrollo Backend</t>
        </is>
      </c>
      <c r="B12" s="11">
        <f>SUMIF(Cotización!A$5:A$20, A12, Cotización!I$5:I$20)</f>
        <v/>
      </c>
      <c r="C12" s="12">
        <f>B12/$B$19</f>
        <v/>
      </c>
    </row>
    <row r="13">
      <c r="A13" s="7" t="inlineStr">
        <is>
          <t>3. Desarrollo Frontend</t>
        </is>
      </c>
      <c r="B13" s="8">
        <f>SUMIF(Cotización!A$5:A$20, A13, Cotización!I$5:I$20)</f>
        <v/>
      </c>
      <c r="C13" s="9">
        <f>B13/$B$19</f>
        <v/>
      </c>
    </row>
    <row r="14">
      <c r="A14" s="10" t="inlineStr">
        <is>
          <t>4. QA &amp; Pruebas</t>
        </is>
      </c>
      <c r="B14" s="11">
        <f>SUMIF(Cotización!A$5:A$20, A14, Cotización!I$5:I$20)</f>
        <v/>
      </c>
      <c r="C14" s="12">
        <f>B14/$B$19</f>
        <v/>
      </c>
    </row>
    <row r="15">
      <c r="A15" s="7" t="inlineStr">
        <is>
          <t>5. Despliegue y DevOps</t>
        </is>
      </c>
      <c r="B15" s="8">
        <f>SUMIF(Cotización!A$5:A$20, A15, Cotización!I$5:I$20)</f>
        <v/>
      </c>
      <c r="C15" s="9">
        <f>B15/$B$19</f>
        <v/>
      </c>
    </row>
    <row r="16">
      <c r="A16" s="10" t="inlineStr">
        <is>
          <t>6. Gestión de Proyecto</t>
        </is>
      </c>
      <c r="B16" s="11">
        <f>SUMIF(Cotización!A$5:A$20, A16, Cotización!I$5:I$20)</f>
        <v/>
      </c>
      <c r="C16" s="12">
        <f>B16/$B$19</f>
        <v/>
      </c>
    </row>
    <row r="17">
      <c r="A17" s="7" t="inlineStr">
        <is>
          <t>7. Herramientas IA &amp; Agentes</t>
        </is>
      </c>
      <c r="B17" s="8">
        <f>SUMIF(Cotización!A$5:A$20, A17, Cotización!I$5:I$20)</f>
        <v/>
      </c>
      <c r="C17" s="9">
        <f>B17/$B$19</f>
        <v/>
      </c>
    </row>
    <row r="18">
      <c r="A18" s="10" t="inlineStr">
        <is>
          <t>8. Infraestructura / Hosting</t>
        </is>
      </c>
      <c r="B18" s="11">
        <f>SUMIF(Cotización!A$5:A$20, A18, Cotización!I$5:I$20)</f>
        <v/>
      </c>
      <c r="C18" s="12">
        <f>B18/$B$19</f>
        <v/>
      </c>
    </row>
    <row r="19">
      <c r="A19" s="13" t="inlineStr">
        <is>
          <t>COSTO DIRECTO TOTAL</t>
        </is>
      </c>
      <c r="B19" s="14">
        <f>SUM(B11:B18)</f>
        <v/>
      </c>
      <c r="C19" s="15">
        <f>SUM(C11:C18)</f>
        <v/>
      </c>
    </row>
  </sheetData>
  <mergeCells count="4">
    <mergeCell ref="A4:B4"/>
    <mergeCell ref="D4:E4"/>
    <mergeCell ref="D5:E5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81" customWidth="1" min="2" max="2"/>
    <col width="29" customWidth="1" min="3" max="3"/>
    <col width="16" customWidth="1" min="4" max="4"/>
    <col width="17" customWidth="1" min="5" max="5"/>
    <col width="16" customWidth="1" min="6" max="6"/>
    <col width="16" customWidth="1" min="7" max="7"/>
    <col width="35" customWidth="1" min="8" max="8"/>
    <col width="21" customWidth="1" min="9" max="9"/>
  </cols>
  <sheetData>
    <row r="1">
      <c r="A1" s="1" t="inlineStr">
        <is>
          <t>COTIZACIÓN INTEGRAL DE PROYECTO DE DESARROLLO DE SOFTWARE</t>
        </is>
      </c>
    </row>
    <row r="2">
      <c r="A2" s="2" t="inlineStr">
        <is>
          <t>Estimación con desglose de ingeniería (jornada de 40 hrs/sem: 8 hrs/día), herramientas IA, hosting y margen de utilidad.</t>
        </is>
      </c>
    </row>
    <row r="3"/>
    <row r="4">
      <c r="A4" s="16" t="inlineStr">
        <is>
          <t>Fase / Categoría</t>
        </is>
      </c>
      <c r="B4" s="16" t="inlineStr">
        <is>
          <t>Descripción del Entregable / Concepto</t>
        </is>
      </c>
      <c r="C4" s="16" t="inlineStr">
        <is>
          <t>Rol / Recurso</t>
        </is>
      </c>
      <c r="D4" s="16" t="inlineStr">
        <is>
          <t>Horas Est.</t>
        </is>
      </c>
      <c r="E4" s="16" t="inlineStr">
        <is>
          <t>Semanas (40h)</t>
        </is>
      </c>
      <c r="F4" s="16" t="inlineStr">
        <is>
          <t>Días (8h)</t>
        </is>
      </c>
      <c r="G4" s="16" t="inlineStr">
        <is>
          <t>Meses (160h)</t>
        </is>
      </c>
      <c r="H4" s="16" t="inlineStr">
        <is>
          <t>Tarifa / Costo Unitario (MXN)</t>
        </is>
      </c>
      <c r="I4" s="16" t="inlineStr">
        <is>
          <t>Costo Total (MXN)</t>
        </is>
      </c>
    </row>
    <row r="5">
      <c r="A5" s="7" t="inlineStr">
        <is>
          <t>1. Análisis y Diseño</t>
        </is>
      </c>
      <c r="B5" s="7" t="inlineStr">
        <is>
          <t>Requerimientos, diagrama de arquitectura y flujos de usuario (UX/UI)</t>
        </is>
      </c>
      <c r="C5" s="7" t="inlineStr">
        <is>
          <t>Arquitecto de Software</t>
        </is>
      </c>
      <c r="D5" s="17" t="n">
        <v>35</v>
      </c>
      <c r="E5" s="18">
        <f>D5/40</f>
        <v/>
      </c>
      <c r="F5" s="19">
        <f>D5/8</f>
        <v/>
      </c>
      <c r="G5" s="18">
        <f>D5/160</f>
        <v/>
      </c>
      <c r="H5" s="8" t="n">
        <v>650</v>
      </c>
      <c r="I5" s="20">
        <f>D5*H5</f>
        <v/>
      </c>
    </row>
    <row r="6">
      <c r="A6" s="10" t="inlineStr">
        <is>
          <t>1. Análisis y Diseño</t>
        </is>
      </c>
      <c r="B6" s="10" t="inlineStr">
        <is>
          <t>Diseño de base de datos y esquemas de seguridad</t>
        </is>
      </c>
      <c r="C6" s="10" t="inlineStr">
        <is>
          <t>DBA / Tech Lead</t>
        </is>
      </c>
      <c r="D6" s="21" t="n">
        <v>25</v>
      </c>
      <c r="E6" s="22">
        <f>D6/40</f>
        <v/>
      </c>
      <c r="F6" s="23">
        <f>D6/8</f>
        <v/>
      </c>
      <c r="G6" s="22">
        <f>D6/160</f>
        <v/>
      </c>
      <c r="H6" s="11" t="n">
        <v>600</v>
      </c>
      <c r="I6" s="24">
        <f>D6*H6</f>
        <v/>
      </c>
    </row>
    <row r="7">
      <c r="A7" s="7" t="inlineStr">
        <is>
          <t>2. Desarrollo Backend</t>
        </is>
      </c>
      <c r="B7" s="7" t="inlineStr">
        <is>
          <t>Configuración de servidor, API REST y autenticación JWT</t>
        </is>
      </c>
      <c r="C7" s="7" t="inlineStr">
        <is>
          <t>Desarrollador Backend Sr</t>
        </is>
      </c>
      <c r="D7" s="17" t="n">
        <v>60</v>
      </c>
      <c r="E7" s="18">
        <f>D7/40</f>
        <v/>
      </c>
      <c r="F7" s="19">
        <f>D7/8</f>
        <v/>
      </c>
      <c r="G7" s="18">
        <f>D7/160</f>
        <v/>
      </c>
      <c r="H7" s="8" t="n">
        <v>500</v>
      </c>
      <c r="I7" s="20">
        <f>D7*H7</f>
        <v/>
      </c>
    </row>
    <row r="8">
      <c r="A8" s="10" t="inlineStr">
        <is>
          <t>2. Desarrollo Backend</t>
        </is>
      </c>
      <c r="B8" s="10" t="inlineStr">
        <is>
          <t>Implementación de lógica de negocio y conectores</t>
        </is>
      </c>
      <c r="C8" s="10" t="inlineStr">
        <is>
          <t>Desarrollador Backend Jr</t>
        </is>
      </c>
      <c r="D8" s="21" t="n">
        <v>80</v>
      </c>
      <c r="E8" s="22">
        <f>D8/40</f>
        <v/>
      </c>
      <c r="F8" s="23">
        <f>D8/8</f>
        <v/>
      </c>
      <c r="G8" s="22">
        <f>D8/160</f>
        <v/>
      </c>
      <c r="H8" s="11" t="n">
        <v>350</v>
      </c>
      <c r="I8" s="24">
        <f>D8*H8</f>
        <v/>
      </c>
    </row>
    <row r="9">
      <c r="A9" s="7" t="inlineStr">
        <is>
          <t>3. Desarrollo Frontend</t>
        </is>
      </c>
      <c r="B9" s="7" t="inlineStr">
        <is>
          <t>Maquetación de pantallas responsive y conexión con API</t>
        </is>
      </c>
      <c r="C9" s="7" t="inlineStr">
        <is>
          <t>Desarrollador Frontend Sr</t>
        </is>
      </c>
      <c r="D9" s="17" t="n">
        <v>60</v>
      </c>
      <c r="E9" s="18">
        <f>D9/40</f>
        <v/>
      </c>
      <c r="F9" s="19">
        <f>D9/8</f>
        <v/>
      </c>
      <c r="G9" s="18">
        <f>D9/160</f>
        <v/>
      </c>
      <c r="H9" s="8" t="n">
        <v>480</v>
      </c>
      <c r="I9" s="20">
        <f>D9*H9</f>
        <v/>
      </c>
    </row>
    <row r="10">
      <c r="A10" s="10" t="inlineStr">
        <is>
          <t>3. Desarrollo Frontend</t>
        </is>
      </c>
      <c r="B10" s="10" t="inlineStr">
        <is>
          <t>Componentes de interfaz y validaciones de formularios</t>
        </is>
      </c>
      <c r="C10" s="10" t="inlineStr">
        <is>
          <t>Desarrollador Frontend Jr</t>
        </is>
      </c>
      <c r="D10" s="21" t="n">
        <v>70</v>
      </c>
      <c r="E10" s="22">
        <f>D10/40</f>
        <v/>
      </c>
      <c r="F10" s="23">
        <f>D10/8</f>
        <v/>
      </c>
      <c r="G10" s="22">
        <f>D10/160</f>
        <v/>
      </c>
      <c r="H10" s="11" t="n">
        <v>320</v>
      </c>
      <c r="I10" s="24">
        <f>D10*H10</f>
        <v/>
      </c>
    </row>
    <row r="11">
      <c r="A11" s="7" t="inlineStr">
        <is>
          <t>4. QA &amp; Pruebas</t>
        </is>
      </c>
      <c r="B11" s="7" t="inlineStr">
        <is>
          <t>Pruebas unitarias, de integración y reporte de bugs</t>
        </is>
      </c>
      <c r="C11" s="7" t="inlineStr">
        <is>
          <t>Ingeniero QA</t>
        </is>
      </c>
      <c r="D11" s="17" t="n">
        <v>45</v>
      </c>
      <c r="E11" s="18">
        <f>D11/40</f>
        <v/>
      </c>
      <c r="F11" s="19">
        <f>D11/8</f>
        <v/>
      </c>
      <c r="G11" s="18">
        <f>D11/160</f>
        <v/>
      </c>
      <c r="H11" s="8" t="n">
        <v>400</v>
      </c>
      <c r="I11" s="20">
        <f>D11*H11</f>
        <v/>
      </c>
    </row>
    <row r="12">
      <c r="A12" s="10" t="inlineStr">
        <is>
          <t>5. Despliegue y DevOps</t>
        </is>
      </c>
      <c r="B12" s="10" t="inlineStr">
        <is>
          <t>Configuración de entorno en la nube, CI/CD y dominios</t>
        </is>
      </c>
      <c r="C12" s="10" t="inlineStr">
        <is>
          <t>DevOps Engineer</t>
        </is>
      </c>
      <c r="D12" s="21" t="n">
        <v>25</v>
      </c>
      <c r="E12" s="22">
        <f>D12/40</f>
        <v/>
      </c>
      <c r="F12" s="23">
        <f>D12/8</f>
        <v/>
      </c>
      <c r="G12" s="22">
        <f>D12/160</f>
        <v/>
      </c>
      <c r="H12" s="11" t="n">
        <v>550</v>
      </c>
      <c r="I12" s="24">
        <f>D12*H12</f>
        <v/>
      </c>
    </row>
    <row r="13">
      <c r="A13" s="7" t="inlineStr">
        <is>
          <t>6. Gestión de Proyecto</t>
        </is>
      </c>
      <c r="B13" s="7" t="inlineStr">
        <is>
          <t>Seguimiento ágil (Scrum), reuniones con cliente y entregas</t>
        </is>
      </c>
      <c r="C13" s="7" t="inlineStr">
        <is>
          <t>Project Manager</t>
        </is>
      </c>
      <c r="D13" s="17" t="n">
        <v>30</v>
      </c>
      <c r="E13" s="18">
        <f>D13/40</f>
        <v/>
      </c>
      <c r="F13" s="19">
        <f>D13/8</f>
        <v/>
      </c>
      <c r="G13" s="18">
        <f>D13/160</f>
        <v/>
      </c>
      <c r="H13" s="8" t="n">
        <v>600</v>
      </c>
      <c r="I13" s="20">
        <f>D13*H13</f>
        <v/>
      </c>
    </row>
    <row r="14">
      <c r="A14" s="10" t="inlineStr">
        <is>
          <t>7. Herramientas IA &amp; Agentes</t>
        </is>
      </c>
      <c r="B14" s="10" t="inlineStr">
        <is>
          <t>Licenciamiento de Agentes de Desarrollo Autónomo (Cursor / Copilot Pro)</t>
        </is>
      </c>
      <c r="C14" s="10" t="inlineStr">
        <is>
          <t>Licencias / Mes</t>
        </is>
      </c>
      <c r="D14" s="21" t="n">
        <v>3</v>
      </c>
      <c r="E14" s="22">
        <f>D14/40</f>
        <v/>
      </c>
      <c r="F14" s="23">
        <f>D14/8</f>
        <v/>
      </c>
      <c r="G14" s="22">
        <f>D14/160</f>
        <v/>
      </c>
      <c r="H14" s="11" t="n">
        <v>450</v>
      </c>
      <c r="I14" s="24">
        <f>D14*H14</f>
        <v/>
      </c>
    </row>
    <row r="15">
      <c r="A15" s="7" t="inlineStr">
        <is>
          <t>7. Herramientas IA &amp; Agentes</t>
        </is>
      </c>
      <c r="B15" s="7" t="inlineStr">
        <is>
          <t>Consumo de API de LLMs (OpenAI / Anthropic para lógica inteligente y testing)</t>
        </is>
      </c>
      <c r="C15" s="7" t="inlineStr">
        <is>
          <t>Tokens / Consumo</t>
        </is>
      </c>
      <c r="D15" s="17" t="n">
        <v>1</v>
      </c>
      <c r="E15" s="18">
        <f>D15/40</f>
        <v/>
      </c>
      <c r="F15" s="19">
        <f>D15/8</f>
        <v/>
      </c>
      <c r="G15" s="18">
        <f>D15/160</f>
        <v/>
      </c>
      <c r="H15" s="8" t="n">
        <v>1800</v>
      </c>
      <c r="I15" s="20">
        <f>D15*H15</f>
        <v/>
      </c>
    </row>
    <row r="16">
      <c r="A16" s="10" t="inlineStr">
        <is>
          <t>7. Herramientas IA &amp; Agentes</t>
        </is>
      </c>
      <c r="B16" s="10" t="inlineStr">
        <is>
          <t>Plataforma de automatización RPA y asistentes inteligentes (UiPath / Bots)</t>
        </is>
      </c>
      <c r="C16" s="10" t="inlineStr">
        <is>
          <t>Suscripción Proyecto</t>
        </is>
      </c>
      <c r="D16" s="21" t="n">
        <v>1</v>
      </c>
      <c r="E16" s="22">
        <f>D16/40</f>
        <v/>
      </c>
      <c r="F16" s="23">
        <f>D16/8</f>
        <v/>
      </c>
      <c r="G16" s="22">
        <f>D16/160</f>
        <v/>
      </c>
      <c r="H16" s="11" t="n">
        <v>2500</v>
      </c>
      <c r="I16" s="24">
        <f>D16*H16</f>
        <v/>
      </c>
    </row>
    <row r="17">
      <c r="A17" s="7" t="inlineStr">
        <is>
          <t>8. Infraestructura / Hosting</t>
        </is>
      </c>
      <c r="B17" s="7" t="inlineStr">
        <is>
          <t>Hosting Cloud Servidor Backend &amp; Base de Datos (AWS / DigitalOcean - 3 meses)</t>
        </is>
      </c>
      <c r="C17" s="7" t="inlineStr">
        <is>
          <t>Servidor Cloud</t>
        </is>
      </c>
      <c r="D17" s="17" t="n">
        <v>3</v>
      </c>
      <c r="E17" s="18">
        <f>D17/40</f>
        <v/>
      </c>
      <c r="F17" s="19">
        <f>D17/8</f>
        <v/>
      </c>
      <c r="G17" s="18">
        <f>D17/160</f>
        <v/>
      </c>
      <c r="H17" s="8" t="n">
        <v>1200</v>
      </c>
      <c r="I17" s="20">
        <f>D17*H17</f>
        <v/>
      </c>
    </row>
    <row r="18">
      <c r="A18" s="10" t="inlineStr">
        <is>
          <t>8. Infraestructura / Hosting</t>
        </is>
      </c>
      <c r="B18" s="10" t="inlineStr">
        <is>
          <t>Certificado SSL, Dominio y Configuración DNS anual</t>
        </is>
      </c>
      <c r="C18" s="10" t="inlineStr">
        <is>
          <t>Dominio &amp; Seguridad</t>
        </is>
      </c>
      <c r="D18" s="21" t="n">
        <v>1</v>
      </c>
      <c r="E18" s="22">
        <f>D18/40</f>
        <v/>
      </c>
      <c r="F18" s="23">
        <f>D18/8</f>
        <v/>
      </c>
      <c r="G18" s="22">
        <f>D18/160</f>
        <v/>
      </c>
      <c r="H18" s="11" t="n">
        <v>850</v>
      </c>
      <c r="I18" s="24">
        <f>D18*H18</f>
        <v/>
      </c>
    </row>
    <row r="19">
      <c r="A19" s="7" t="inlineStr">
        <is>
          <t>8. Infraestructura / Hosting</t>
        </is>
      </c>
      <c r="B19" s="7" t="inlineStr">
        <is>
          <t>Entorno de Staging / Pruebas dedicado para validación del cliente</t>
        </is>
      </c>
      <c r="C19" s="7" t="inlineStr">
        <is>
          <t>Servidor Staging</t>
        </is>
      </c>
      <c r="D19" s="17" t="n">
        <v>2</v>
      </c>
      <c r="E19" s="18">
        <f>D19/40</f>
        <v/>
      </c>
      <c r="F19" s="19">
        <f>D19/8</f>
        <v/>
      </c>
      <c r="G19" s="18">
        <f>D19/160</f>
        <v/>
      </c>
      <c r="H19" s="8" t="n">
        <v>600</v>
      </c>
      <c r="I19" s="20">
        <f>D19*H19</f>
        <v/>
      </c>
    </row>
    <row r="20"/>
    <row r="21">
      <c r="C21" s="25" t="inlineStr">
        <is>
          <t>COSTO DIRECTO TOTAL:</t>
        </is>
      </c>
      <c r="D21" s="26">
        <f>SUM(D5:D13)</f>
        <v/>
      </c>
      <c r="E21" s="27">
        <f>SUM(E5:E13)</f>
        <v/>
      </c>
      <c r="F21" s="28">
        <f>SUM(F5:F13)</f>
        <v/>
      </c>
      <c r="G21" s="27">
        <f>SUM(G5:G13)</f>
        <v/>
      </c>
      <c r="H21" t="inlineStr"/>
      <c r="I21" s="14">
        <f>SUM(I5:I19)</f>
        <v/>
      </c>
    </row>
    <row r="22">
      <c r="H22" s="25" t="inlineStr">
        <is>
          <t>Margen de Utilidad (25%):</t>
        </is>
      </c>
      <c r="I22" s="29">
        <f>I21*0.25</f>
        <v/>
      </c>
    </row>
    <row r="23">
      <c r="H23" s="25" t="inlineStr">
        <is>
          <t>SUBTOTAL CON UTILIDAD:</t>
        </is>
      </c>
      <c r="I23" s="29">
        <f>I21+I22</f>
        <v/>
      </c>
    </row>
    <row r="24">
      <c r="H24" s="25" t="inlineStr">
        <is>
          <t>IVA (16%):</t>
        </is>
      </c>
      <c r="I24" s="29">
        <f>I23*0.16</f>
        <v/>
      </c>
    </row>
    <row r="25">
      <c r="H25" s="30" t="inlineStr">
        <is>
          <t>TOTAL GENERAL COTIZACIÓN (MXN):</t>
        </is>
      </c>
      <c r="I25" s="31">
        <f>I23+I24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4" customWidth="1" min="3" max="3"/>
    <col width="22" customWidth="1" min="4" max="4"/>
    <col width="52" customWidth="1" min="5" max="5"/>
    <col width="15" customWidth="1" min="6" max="6"/>
  </cols>
  <sheetData>
    <row r="1">
      <c r="A1" s="1" t="inlineStr">
        <is>
          <t>CRONOGRAMA Y DISTRIBUCIÓN DE FASES</t>
        </is>
      </c>
    </row>
    <row r="2">
      <c r="A2" s="2" t="inlineStr">
        <is>
          <t>Resumen de duración, entregables y asignación temporal por fase del proyecto.</t>
        </is>
      </c>
    </row>
    <row r="3"/>
    <row r="4">
      <c r="A4" s="6" t="inlineStr">
        <is>
          <t>Fase</t>
        </is>
      </c>
      <c r="B4" s="6" t="inlineStr">
        <is>
          <t>Semana Inicio</t>
        </is>
      </c>
      <c r="C4" s="6" t="inlineStr">
        <is>
          <t>Semana Fin</t>
        </is>
      </c>
      <c r="D4" s="6" t="inlineStr">
        <is>
          <t>Duración (Semanas)</t>
        </is>
      </c>
      <c r="E4" s="6" t="inlineStr">
        <is>
          <t>Entregable Principal</t>
        </is>
      </c>
      <c r="F4" s="6" t="inlineStr">
        <is>
          <t>Estado</t>
        </is>
      </c>
    </row>
    <row r="5">
      <c r="A5" s="32" t="inlineStr">
        <is>
          <t>1. Análisis y Diseño</t>
        </is>
      </c>
      <c r="B5" s="7" t="n">
        <v>1</v>
      </c>
      <c r="C5" s="7" t="n">
        <v>2</v>
      </c>
      <c r="D5" s="33">
        <f>C5-B5+1</f>
        <v/>
      </c>
      <c r="E5" s="7" t="inlineStr">
        <is>
          <t>Documento de Arquitectura y Mockups UX/UI</t>
        </is>
      </c>
      <c r="F5" s="33" t="inlineStr">
        <is>
          <t>Completado</t>
        </is>
      </c>
    </row>
    <row r="6">
      <c r="A6" s="34" t="inlineStr">
        <is>
          <t>2. Desarrollo Backend</t>
        </is>
      </c>
      <c r="B6" s="10" t="n">
        <v>3</v>
      </c>
      <c r="C6" s="10" t="n">
        <v>6</v>
      </c>
      <c r="D6" s="35">
        <f>C6-B6+1</f>
        <v/>
      </c>
      <c r="E6" s="10" t="inlineStr">
        <is>
          <t>API REST funcional y Base de Datos Configurada</t>
        </is>
      </c>
      <c r="F6" s="35" t="inlineStr">
        <is>
          <t>En Progreso</t>
        </is>
      </c>
    </row>
    <row r="7">
      <c r="A7" s="32" t="inlineStr">
        <is>
          <t>3. Desarrollo Frontend</t>
        </is>
      </c>
      <c r="B7" s="7" t="n">
        <v>5</v>
      </c>
      <c r="C7" s="7" t="n">
        <v>8</v>
      </c>
      <c r="D7" s="33">
        <f>C7-B7+1</f>
        <v/>
      </c>
      <c r="E7" s="7" t="inlineStr">
        <is>
          <t>Interfaces de Usuario integradas con API</t>
        </is>
      </c>
      <c r="F7" s="33" t="inlineStr">
        <is>
          <t>Pendiente</t>
        </is>
      </c>
    </row>
    <row r="8">
      <c r="A8" s="34" t="inlineStr">
        <is>
          <t>4. QA &amp; Pruebas</t>
        </is>
      </c>
      <c r="B8" s="10" t="n">
        <v>8</v>
      </c>
      <c r="C8" s="10" t="n">
        <v>9</v>
      </c>
      <c r="D8" s="35">
        <f>C8-B8+1</f>
        <v/>
      </c>
      <c r="E8" s="10" t="inlineStr">
        <is>
          <t>Reporte de Pruebas y Corrección de Bugs</t>
        </is>
      </c>
      <c r="F8" s="35" t="inlineStr">
        <is>
          <t>Pendiente</t>
        </is>
      </c>
    </row>
    <row r="9">
      <c r="A9" s="32" t="inlineStr">
        <is>
          <t>5. Despliegue y DevOps</t>
        </is>
      </c>
      <c r="B9" s="7" t="n">
        <v>10</v>
      </c>
      <c r="C9" s="7" t="n">
        <v>10</v>
      </c>
      <c r="D9" s="33">
        <f>C9-B9+1</f>
        <v/>
      </c>
      <c r="E9" s="7" t="inlineStr">
        <is>
          <t>Sistema en Producción y Manual de Usuario</t>
        </is>
      </c>
      <c r="F9" s="33" t="inlineStr">
        <is>
          <t>Pendiente</t>
        </is>
      </c>
    </row>
    <row r="10">
      <c r="A10" s="34" t="inlineStr">
        <is>
          <t>6. Gestión de Proyecto</t>
        </is>
      </c>
      <c r="B10" s="10" t="n">
        <v>1</v>
      </c>
      <c r="C10" s="10" t="n">
        <v>10</v>
      </c>
      <c r="D10" s="35">
        <f>C10-B10+1</f>
        <v/>
      </c>
      <c r="E10" s="10" t="inlineStr">
        <is>
          <t>Reportes de Avance y Actas de Entrega</t>
        </is>
      </c>
      <c r="F10" s="35" t="inlineStr">
        <is>
          <t>En Progreso</t>
        </is>
      </c>
    </row>
    <row r="11">
      <c r="A11" s="32" t="inlineStr">
        <is>
          <t>7. Herramientas IA &amp; Agentes</t>
        </is>
      </c>
      <c r="B11" s="7" t="n">
        <v>1</v>
      </c>
      <c r="C11" s="7" t="n">
        <v>10</v>
      </c>
      <c r="D11" s="33">
        <f>C11-B11+1</f>
        <v/>
      </c>
      <c r="E11" s="7" t="inlineStr">
        <is>
          <t>Integración de Agentes y Automatización RPA</t>
        </is>
      </c>
      <c r="F11" s="33" t="inlineStr">
        <is>
          <t>En Progreso</t>
        </is>
      </c>
    </row>
    <row r="12">
      <c r="A12" s="34" t="inlineStr">
        <is>
          <t>8. Infraestructura / Hosting</t>
        </is>
      </c>
      <c r="B12" s="10" t="n">
        <v>9</v>
      </c>
      <c r="C12" s="10" t="n">
        <v>10</v>
      </c>
      <c r="D12" s="35">
        <f>C12-B12+1</f>
        <v/>
      </c>
      <c r="E12" s="10" t="inlineStr">
        <is>
          <t>Servidores Cloud y Certificados SSL Configurados</t>
        </is>
      </c>
      <c r="F12" s="35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2026-08-04T17:33:26Z</dcterms:created>
  <dcterms:modified xmlns:dcterms="http://purl.org/dc/terms/" xmlns:xsi="http://www.w3.org/2001/XMLSchema-instance" xsi:type="dcterms:W3CDTF">2026-08-04T17:33:26Z</dcterms:modified>
</cp:coreProperties>
</file>